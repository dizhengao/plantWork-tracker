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bicloud-my.sharepoint.com/personal/wez23nor_nbi_ac_uk/Documents/Experiment/plantWork-tracker/"/>
    </mc:Choice>
  </mc:AlternateContent>
  <xr:revisionPtr revIDLastSave="1901" documentId="8_{D8DCFB22-01BC-924B-AE1D-F4EDC42DDFA3}" xr6:coauthVersionLast="47" xr6:coauthVersionMax="47" xr10:uidLastSave="{54AD51F2-F219-8F41-8959-035F644BF845}"/>
  <bookViews>
    <workbookView xWindow="28800" yWindow="500" windowWidth="38400" windowHeight="21100" xr2:uid="{76529944-D650-424B-8087-6FB9D5F1FA19}"/>
  </bookViews>
  <sheets>
    <sheet name="Inventory" sheetId="10" r:id="rId1"/>
    <sheet name="Action" sheetId="12" r:id="rId2"/>
  </sheets>
  <definedNames>
    <definedName name="_xlnm._FilterDatabase" localSheetId="0" hidden="1">Inventory!$A$1:$AD$2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H3" i="10"/>
  <c r="K3" i="10"/>
  <c r="L3" i="10"/>
  <c r="O3" i="10"/>
  <c r="P3" i="10"/>
  <c r="S3" i="10"/>
  <c r="T3" i="10"/>
  <c r="W3" i="10"/>
  <c r="X3" i="10"/>
  <c r="AA3" i="10"/>
  <c r="AB3" i="10"/>
  <c r="G5" i="10"/>
  <c r="H5" i="10"/>
  <c r="O5" i="10"/>
  <c r="P5" i="10"/>
  <c r="S5" i="10"/>
  <c r="T5" i="10"/>
  <c r="W5" i="10"/>
  <c r="X5" i="10"/>
  <c r="AA5" i="10"/>
  <c r="AB5" i="10"/>
  <c r="G4" i="10"/>
  <c r="H4" i="10"/>
  <c r="O4" i="10"/>
  <c r="P4" i="10"/>
  <c r="S4" i="10"/>
  <c r="T4" i="10"/>
  <c r="W4" i="10"/>
  <c r="X4" i="10"/>
  <c r="AA4" i="10"/>
  <c r="AB4" i="10" s="1"/>
  <c r="B3" i="12" l="1"/>
  <c r="AA7" i="10"/>
  <c r="AB7" i="10"/>
  <c r="P7" i="10"/>
  <c r="O7" i="10"/>
  <c r="L7" i="10"/>
  <c r="K7" i="10"/>
  <c r="X7" i="10"/>
  <c r="W7" i="10"/>
  <c r="T7" i="10"/>
  <c r="S7" i="10"/>
  <c r="H7" i="10"/>
  <c r="G7" i="10"/>
  <c r="F3" i="10" l="1"/>
  <c r="I3" i="10" s="1"/>
  <c r="F5" i="10"/>
  <c r="F4" i="10"/>
  <c r="F7" i="10"/>
  <c r="U3" i="10" l="1"/>
  <c r="M3" i="10"/>
  <c r="Q3" i="10"/>
  <c r="Y3" i="10"/>
  <c r="Y4" i="10"/>
  <c r="U4" i="10"/>
  <c r="U7" i="10"/>
  <c r="I7" i="10"/>
  <c r="M7" i="10"/>
  <c r="Q7" i="10"/>
  <c r="Y7" i="10"/>
</calcChain>
</file>

<file path=xl/sharedStrings.xml><?xml version="1.0" encoding="utf-8"?>
<sst xmlns="http://schemas.openxmlformats.org/spreadsheetml/2006/main" count="118" uniqueCount="70">
  <si>
    <t>Notes</t>
  </si>
  <si>
    <t>Purpose</t>
  </si>
  <si>
    <t>Harvest</t>
  </si>
  <si>
    <t>Segregating</t>
  </si>
  <si>
    <t>Red:</t>
  </si>
  <si>
    <t>In the action window</t>
  </si>
  <si>
    <t>Green:</t>
  </si>
  <si>
    <t>Yellow:</t>
  </si>
  <si>
    <t>Color codes</t>
  </si>
  <si>
    <t>Harvest_End</t>
  </si>
  <si>
    <t>Harvest_Start</t>
  </si>
  <si>
    <t>ReduceWater_End</t>
  </si>
  <si>
    <t>ReduceWater_Start</t>
  </si>
  <si>
    <t>Transformation_Start</t>
  </si>
  <si>
    <t>Bolt_End</t>
  </si>
  <si>
    <t>xx/xx/xxxx</t>
  </si>
  <si>
    <t>B51-07</t>
  </si>
  <si>
    <t>Col-0 WT</t>
  </si>
  <si>
    <t>Bolt_Start</t>
  </si>
  <si>
    <t>Today</t>
  </si>
  <si>
    <t>Harvested</t>
  </si>
  <si>
    <t>Status/day</t>
  </si>
  <si>
    <t>End</t>
  </si>
  <si>
    <t>Start</t>
  </si>
  <si>
    <t>Reduced</t>
  </si>
  <si>
    <t>Dipped</t>
  </si>
  <si>
    <t>Cut</t>
  </si>
  <si>
    <t>Day/Date</t>
  </si>
  <si>
    <t>Transformation</t>
  </si>
  <si>
    <t>Cut Bolt</t>
  </si>
  <si>
    <t>Age/day</t>
  </si>
  <si>
    <t>Location</t>
  </si>
  <si>
    <t>Genotype</t>
  </si>
  <si>
    <t>Start Date</t>
  </si>
  <si>
    <t>Done</t>
  </si>
  <si>
    <t>B18F</t>
  </si>
  <si>
    <t>Dipping</t>
  </si>
  <si>
    <t>na</t>
  </si>
  <si>
    <t>Bulking</t>
  </si>
  <si>
    <t>Cross</t>
  </si>
  <si>
    <t>Tie &amp; stick</t>
  </si>
  <si>
    <t>Tie &amp; stick_Start</t>
  </si>
  <si>
    <t>Tie &amp; stick_End</t>
  </si>
  <si>
    <t>within 10 days from action starts</t>
  </si>
  <si>
    <t>within 10 days from action window ends</t>
  </si>
  <si>
    <t>Reduce Water/Bag</t>
  </si>
  <si>
    <t>Drying seeds</t>
  </si>
  <si>
    <t>Storage</t>
  </si>
  <si>
    <t>ID</t>
  </si>
  <si>
    <t>Room 1</t>
  </si>
  <si>
    <t>Room 2</t>
  </si>
  <si>
    <t>Room 3</t>
  </si>
  <si>
    <t>Value</t>
  </si>
  <si>
    <t>Temperature</t>
  </si>
  <si>
    <t>22 (day), 20 (night)</t>
  </si>
  <si>
    <t>Condition (B18F)</t>
  </si>
  <si>
    <t>Humidity</t>
  </si>
  <si>
    <t>Photoperiod</t>
  </si>
  <si>
    <t>4.00~20.00</t>
  </si>
  <si>
    <t>Light Level</t>
  </si>
  <si>
    <t>220 uMol</t>
  </si>
  <si>
    <t>xx/xx/xx</t>
  </si>
  <si>
    <t>dd/mm/yy</t>
  </si>
  <si>
    <t>0001</t>
  </si>
  <si>
    <t>Col-0 WT (example of an ongoing Col-0 for dipping)</t>
  </si>
  <si>
    <t>0002</t>
  </si>
  <si>
    <t>0003</t>
  </si>
  <si>
    <t>Example of a partially finished line</t>
  </si>
  <si>
    <t>Example of a finished line for seed bulking (no dipping required)</t>
  </si>
  <si>
    <t>Empty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</si>
</sst>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/m/yy;@"/>
  </numFmts>
  <fonts count="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C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FFC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498FF"/>
        <bgColor indexed="64"/>
      </patternFill>
    </fill>
    <fill>
      <patternFill patternType="solid">
        <fgColor rgb="FF5AAD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0" fontId="2" fillId="0" borderId="0"/>
  </cellStyleXfs>
  <cellXfs count="62">
    <xf numFmtId="0" fontId="0" fillId="0" borderId="0" xfId="0"/>
    <xf numFmtId="0" fontId="3" fillId="0" borderId="0" xfId="0" applyFont="1"/>
    <xf numFmtId="172" fontId="3" fillId="0" borderId="0" xfId="0" applyNumberFormat="1" applyFont="1"/>
    <xf numFmtId="17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3" fillId="3" borderId="2" xfId="0" applyFont="1" applyFill="1" applyBorder="1"/>
    <xf numFmtId="0" fontId="3" fillId="0" borderId="3" xfId="0" applyFont="1" applyBorder="1"/>
    <xf numFmtId="0" fontId="3" fillId="4" borderId="4" xfId="0" applyFont="1" applyFill="1" applyBorder="1"/>
    <xf numFmtId="14" fontId="3" fillId="0" borderId="3" xfId="0" applyNumberFormat="1" applyFont="1" applyBorder="1"/>
    <xf numFmtId="0" fontId="3" fillId="2" borderId="4" xfId="0" applyFont="1" applyFill="1" applyBorder="1"/>
    <xf numFmtId="0" fontId="3" fillId="0" borderId="5" xfId="0" applyFont="1" applyBorder="1"/>
    <xf numFmtId="0" fontId="3" fillId="0" borderId="2" xfId="0" applyFont="1" applyBorder="1"/>
    <xf numFmtId="0" fontId="3" fillId="0" borderId="4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/>
    <xf numFmtId="172" fontId="4" fillId="5" borderId="7" xfId="0" applyNumberFormat="1" applyFont="1" applyFill="1" applyBorder="1"/>
    <xf numFmtId="0" fontId="4" fillId="5" borderId="7" xfId="0" applyFont="1" applyFill="1" applyBorder="1" applyAlignment="1">
      <alignment horizontal="center" vertical="center"/>
    </xf>
    <xf numFmtId="172" fontId="4" fillId="5" borderId="7" xfId="0" applyNumberFormat="1" applyFont="1" applyFill="1" applyBorder="1" applyAlignment="1">
      <alignment horizontal="center" vertical="center"/>
    </xf>
    <xf numFmtId="172" fontId="4" fillId="6" borderId="7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172" fontId="4" fillId="7" borderId="7" xfId="0" applyNumberFormat="1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172" fontId="4" fillId="8" borderId="7" xfId="0" applyNumberFormat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14" fontId="3" fillId="0" borderId="0" xfId="0" applyNumberFormat="1" applyFont="1" applyAlignment="1">
      <alignment horizontal="left" vertical="center"/>
    </xf>
    <xf numFmtId="0" fontId="5" fillId="0" borderId="0" xfId="0" applyFont="1"/>
    <xf numFmtId="49" fontId="3" fillId="0" borderId="0" xfId="0" applyNumberFormat="1" applyFont="1" applyAlignment="1">
      <alignment horizontal="center" vertical="center"/>
    </xf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172" fontId="3" fillId="9" borderId="0" xfId="0" applyNumberFormat="1" applyFont="1" applyFill="1" applyAlignment="1">
      <alignment horizontal="center" vertical="center"/>
    </xf>
    <xf numFmtId="172" fontId="4" fillId="10" borderId="7" xfId="0" applyNumberFormat="1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172" fontId="6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72" fontId="6" fillId="0" borderId="0" xfId="0" applyNumberFormat="1" applyFont="1"/>
    <xf numFmtId="172" fontId="7" fillId="0" borderId="7" xfId="0" applyNumberFormat="1" applyFont="1" applyBorder="1" applyAlignment="1">
      <alignment horizontal="center" vertical="center"/>
    </xf>
    <xf numFmtId="0" fontId="6" fillId="0" borderId="4" xfId="0" applyFont="1" applyBorder="1"/>
    <xf numFmtId="0" fontId="6" fillId="0" borderId="3" xfId="0" applyFont="1" applyBorder="1"/>
    <xf numFmtId="0" fontId="8" fillId="0" borderId="0" xfId="0" applyFont="1"/>
    <xf numFmtId="172" fontId="4" fillId="0" borderId="0" xfId="0" applyNumberFormat="1" applyFont="1" applyAlignment="1">
      <alignment horizontal="center" vertical="center"/>
    </xf>
    <xf numFmtId="172" fontId="4" fillId="0" borderId="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9" fontId="3" fillId="0" borderId="3" xfId="0" applyNumberFormat="1" applyFont="1" applyBorder="1"/>
    <xf numFmtId="49" fontId="3" fillId="0" borderId="0" xfId="0" quotePrefix="1" applyNumberFormat="1" applyFont="1" applyAlignment="1">
      <alignment horizontal="center" vertical="center"/>
    </xf>
  </cellXfs>
  <cellStyles count="2">
    <cellStyle name="Normal" xfId="0" builtinId="0"/>
    <cellStyle name="Normal 2" xfId="1" xr:uid="{7CF12B4C-433A-B54C-A0D7-3A7D138FCAF6}"/>
  </cellStyles>
  <dxfs count="42">
    <dxf>
      <fill>
        <patternFill>
          <bgColor theme="0" tint="-0.14996795556505021"/>
        </patternFill>
      </fill>
    </dxf>
    <dxf>
      <font>
        <color rgb="FF00B05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59996337778862885"/>
        </patternFill>
      </fill>
    </dxf>
    <dxf>
      <fill>
        <patternFill>
          <bgColor theme="1" tint="0.499984740745262"/>
        </patternFill>
      </fill>
    </dxf>
    <dxf>
      <font>
        <color theme="5" tint="0.39994506668294322"/>
      </font>
    </dxf>
    <dxf>
      <font>
        <color theme="9" tint="0.39994506668294322"/>
      </font>
    </dxf>
    <dxf>
      <font>
        <color theme="8" tint="0.39994506668294322"/>
      </font>
    </dxf>
    <dxf>
      <fill>
        <patternFill>
          <bgColor theme="0" tint="-0.14996795556505021"/>
        </patternFill>
      </fill>
    </dxf>
    <dxf>
      <font>
        <color rgb="FF00B05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201"/>
      <color rgb="FFFC7759"/>
      <color rgb="FFFE4F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3ECC-79B8-5C41-B6E7-B7E03CE7FBF3}">
  <dimension ref="A1:AE7"/>
  <sheetViews>
    <sheetView tabSelected="1" zoomScale="75" zoomScaleNormal="80" workbookViewId="0">
      <pane ySplit="2" topLeftCell="A3" activePane="bottomLeft" state="frozen"/>
      <selection activeCell="D1" sqref="D1"/>
      <selection pane="bottomLeft" activeCell="J12" sqref="J12"/>
    </sheetView>
  </sheetViews>
  <sheetFormatPr baseColWidth="10" defaultColWidth="10.83203125" defaultRowHeight="16" x14ac:dyDescent="0.2"/>
  <cols>
    <col min="1" max="1" width="9.83203125" style="3" bestFit="1" customWidth="1"/>
    <col min="2" max="2" width="11.6640625" style="30" bestFit="1" customWidth="1"/>
    <col min="3" max="3" width="11" style="3" bestFit="1" customWidth="1"/>
    <col min="4" max="4" width="25.33203125" style="5" bestFit="1" customWidth="1"/>
    <col min="5" max="5" width="8" style="4" bestFit="1" customWidth="1"/>
    <col min="6" max="6" width="7.83203125" style="4" customWidth="1"/>
    <col min="7" max="7" width="8.5" style="3" customWidth="1"/>
    <col min="8" max="8" width="8.5" style="3" bestFit="1" customWidth="1"/>
    <col min="9" max="9" width="10.33203125" style="4" bestFit="1" customWidth="1"/>
    <col min="10" max="10" width="9.6640625" style="3" bestFit="1" customWidth="1"/>
    <col min="11" max="12" width="8.33203125" style="3" bestFit="1" customWidth="1"/>
    <col min="13" max="13" width="10.33203125" style="4" bestFit="1" customWidth="1"/>
    <col min="14" max="14" width="9.5" style="3" customWidth="1"/>
    <col min="15" max="16" width="8.33203125" style="3" bestFit="1" customWidth="1"/>
    <col min="17" max="17" width="10.33203125" style="4" bestFit="1" customWidth="1"/>
    <col min="18" max="18" width="9.5" style="3" bestFit="1" customWidth="1"/>
    <col min="19" max="20" width="8.33203125" style="3" bestFit="1" customWidth="1"/>
    <col min="21" max="21" width="10.33203125" style="4" bestFit="1" customWidth="1"/>
    <col min="22" max="22" width="9.5" style="3" bestFit="1" customWidth="1"/>
    <col min="23" max="23" width="8.33203125" style="3" bestFit="1" customWidth="1"/>
    <col min="24" max="24" width="8.33203125" style="2" bestFit="1" customWidth="1"/>
    <col min="25" max="25" width="10.33203125" style="1" bestFit="1" customWidth="1"/>
    <col min="26" max="26" width="9.6640625" style="2" bestFit="1" customWidth="1"/>
    <col min="27" max="27" width="8.33203125" style="37" bestFit="1" customWidth="1"/>
    <col min="28" max="28" width="8.33203125" style="2" bestFit="1" customWidth="1"/>
    <col min="29" max="29" width="8.33203125" style="2" customWidth="1"/>
    <col min="30" max="30" width="33.1640625" style="1" bestFit="1" customWidth="1"/>
    <col min="31" max="31" width="7.33203125" style="1" customWidth="1"/>
    <col min="32" max="32" width="18.6640625" style="1" bestFit="1" customWidth="1"/>
    <col min="33" max="33" width="11" style="1" bestFit="1" customWidth="1"/>
    <col min="34" max="36" width="10.83203125" style="1"/>
    <col min="37" max="37" width="37" style="1" bestFit="1" customWidth="1"/>
    <col min="38" max="16384" width="10.83203125" style="1"/>
  </cols>
  <sheetData>
    <row r="1" spans="1:31" x14ac:dyDescent="0.2">
      <c r="A1" s="45" t="s">
        <v>33</v>
      </c>
      <c r="B1" s="51" t="s">
        <v>48</v>
      </c>
      <c r="C1" s="51" t="s">
        <v>1</v>
      </c>
      <c r="D1" s="49" t="s">
        <v>32</v>
      </c>
      <c r="E1" s="47" t="s">
        <v>31</v>
      </c>
      <c r="F1" s="47" t="s">
        <v>30</v>
      </c>
      <c r="G1" s="54" t="s">
        <v>29</v>
      </c>
      <c r="H1" s="54"/>
      <c r="I1" s="54"/>
      <c r="J1" s="54"/>
      <c r="K1" s="53" t="s">
        <v>28</v>
      </c>
      <c r="L1" s="53"/>
      <c r="M1" s="53"/>
      <c r="N1" s="53"/>
      <c r="O1" s="57" t="s">
        <v>40</v>
      </c>
      <c r="P1" s="57"/>
      <c r="Q1" s="57"/>
      <c r="R1" s="57"/>
      <c r="S1" s="55" t="s">
        <v>45</v>
      </c>
      <c r="T1" s="55"/>
      <c r="U1" s="55"/>
      <c r="V1" s="55"/>
      <c r="W1" s="56" t="s">
        <v>2</v>
      </c>
      <c r="X1" s="56"/>
      <c r="Y1" s="56"/>
      <c r="Z1" s="56"/>
      <c r="AA1" s="58" t="s">
        <v>46</v>
      </c>
      <c r="AB1" s="58"/>
      <c r="AC1" s="58" t="s">
        <v>47</v>
      </c>
      <c r="AD1" s="51" t="s">
        <v>0</v>
      </c>
      <c r="AE1" s="15"/>
    </row>
    <row r="2" spans="1:31" ht="17" thickBot="1" x14ac:dyDescent="0.25">
      <c r="A2" s="46"/>
      <c r="B2" s="52"/>
      <c r="C2" s="52"/>
      <c r="D2" s="50"/>
      <c r="E2" s="48"/>
      <c r="F2" s="48"/>
      <c r="G2" s="24" t="s">
        <v>23</v>
      </c>
      <c r="H2" s="24" t="s">
        <v>22</v>
      </c>
      <c r="I2" s="25" t="s">
        <v>21</v>
      </c>
      <c r="J2" s="24" t="s">
        <v>26</v>
      </c>
      <c r="K2" s="22" t="s">
        <v>23</v>
      </c>
      <c r="L2" s="22" t="s">
        <v>22</v>
      </c>
      <c r="M2" s="23" t="s">
        <v>21</v>
      </c>
      <c r="N2" s="22" t="s">
        <v>25</v>
      </c>
      <c r="O2" s="35" t="s">
        <v>23</v>
      </c>
      <c r="P2" s="35" t="s">
        <v>22</v>
      </c>
      <c r="Q2" s="36" t="s">
        <v>21</v>
      </c>
      <c r="R2" s="35" t="s">
        <v>24</v>
      </c>
      <c r="S2" s="20" t="s">
        <v>23</v>
      </c>
      <c r="T2" s="20" t="s">
        <v>22</v>
      </c>
      <c r="U2" s="21" t="s">
        <v>21</v>
      </c>
      <c r="V2" s="20" t="s">
        <v>24</v>
      </c>
      <c r="W2" s="19" t="s">
        <v>23</v>
      </c>
      <c r="X2" s="19" t="s">
        <v>22</v>
      </c>
      <c r="Y2" s="18" t="s">
        <v>21</v>
      </c>
      <c r="Z2" s="17" t="s">
        <v>20</v>
      </c>
      <c r="AA2" s="41" t="s">
        <v>23</v>
      </c>
      <c r="AB2" s="41" t="s">
        <v>22</v>
      </c>
      <c r="AC2" s="59"/>
      <c r="AD2" s="52"/>
      <c r="AE2" s="16"/>
    </row>
    <row r="3" spans="1:31" x14ac:dyDescent="0.2">
      <c r="A3" s="37">
        <v>45728</v>
      </c>
      <c r="B3" s="61" t="s">
        <v>63</v>
      </c>
      <c r="C3" s="37" t="s">
        <v>36</v>
      </c>
      <c r="D3" s="28" t="s">
        <v>64</v>
      </c>
      <c r="E3" s="39" t="s">
        <v>16</v>
      </c>
      <c r="F3" s="39">
        <f ca="1">Action!$B$3-A3</f>
        <v>33</v>
      </c>
      <c r="G3" s="37">
        <f>$A3+Action!$B$4</f>
        <v>45753</v>
      </c>
      <c r="H3" s="37">
        <f>$A3+Action!$B$5</f>
        <v>45763</v>
      </c>
      <c r="I3" s="4">
        <f ca="1">$F3-Action!$B$4</f>
        <v>8</v>
      </c>
      <c r="J3" s="3" t="s">
        <v>61</v>
      </c>
      <c r="K3" s="37">
        <f>$A3+Action!$B$6</f>
        <v>45768</v>
      </c>
      <c r="L3" s="37">
        <f>$A3+Action!$B$8</f>
        <v>45778</v>
      </c>
      <c r="M3" s="39">
        <f ca="1">$F3-Action!$B$6</f>
        <v>-7</v>
      </c>
      <c r="N3" s="37" t="s">
        <v>15</v>
      </c>
      <c r="O3" s="37">
        <f>$A3+Action!$B$11</f>
        <v>45788</v>
      </c>
      <c r="P3" s="37">
        <f>$A3+Action!$B$12</f>
        <v>45798</v>
      </c>
      <c r="Q3" s="39">
        <f ca="1">$F3-Action!$B$9</f>
        <v>-12</v>
      </c>
      <c r="R3" s="37" t="s">
        <v>15</v>
      </c>
      <c r="S3" s="37">
        <f>$A3+Action!$B$11</f>
        <v>45788</v>
      </c>
      <c r="T3" s="37">
        <f>$A3+Action!$B$12</f>
        <v>45798</v>
      </c>
      <c r="U3" s="39">
        <f ca="1">$F3-Action!$B$11</f>
        <v>-27</v>
      </c>
      <c r="V3" s="37" t="s">
        <v>15</v>
      </c>
      <c r="W3" s="37">
        <f>$A3+Action!$B$13</f>
        <v>45803</v>
      </c>
      <c r="X3" s="37">
        <f>$A3+Action!$B$14</f>
        <v>45823</v>
      </c>
      <c r="Y3" s="39">
        <f ca="1">$F3-Action!$B$13</f>
        <v>-42</v>
      </c>
      <c r="Z3" s="37" t="s">
        <v>15</v>
      </c>
      <c r="AA3" s="37" t="str">
        <f t="shared" ref="AA3" si="0">Z3</f>
        <v>xx/xx/xxxx</v>
      </c>
      <c r="AB3" s="37" t="e">
        <f t="shared" ref="AB3" si="1">AA3+10</f>
        <v>#VALUE!</v>
      </c>
      <c r="AC3" s="40"/>
    </row>
    <row r="4" spans="1:31" x14ac:dyDescent="0.2">
      <c r="A4" s="3">
        <v>45700</v>
      </c>
      <c r="B4" s="30" t="s">
        <v>65</v>
      </c>
      <c r="C4" s="3" t="s">
        <v>3</v>
      </c>
      <c r="D4" t="s">
        <v>67</v>
      </c>
      <c r="E4" s="4" t="s">
        <v>35</v>
      </c>
      <c r="F4" s="4">
        <f ca="1">Action!$B$3-A4</f>
        <v>61</v>
      </c>
      <c r="G4" s="3">
        <f>$A4+Action!$B$4</f>
        <v>45725</v>
      </c>
      <c r="H4" s="3">
        <f>$A4+Action!$B$5</f>
        <v>45735</v>
      </c>
      <c r="I4" s="4" t="s">
        <v>34</v>
      </c>
      <c r="J4" s="3">
        <v>45730</v>
      </c>
      <c r="K4" s="34" t="s">
        <v>37</v>
      </c>
      <c r="L4" s="34" t="s">
        <v>37</v>
      </c>
      <c r="M4" s="34" t="s">
        <v>37</v>
      </c>
      <c r="N4" s="34" t="s">
        <v>37</v>
      </c>
      <c r="O4" s="3">
        <f>$A4+Action!$B$11</f>
        <v>45760</v>
      </c>
      <c r="P4" s="3">
        <f>$A4+Action!$B$12</f>
        <v>45770</v>
      </c>
      <c r="Q4" s="4" t="s">
        <v>34</v>
      </c>
      <c r="R4" s="3">
        <v>45396</v>
      </c>
      <c r="S4" s="3">
        <f>$A4+Action!$B$11</f>
        <v>45760</v>
      </c>
      <c r="T4" s="3">
        <f>$A4+Action!$B$12</f>
        <v>45770</v>
      </c>
      <c r="U4" s="4">
        <f ca="1">$F4-Action!$B$11</f>
        <v>1</v>
      </c>
      <c r="V4" s="3" t="s">
        <v>15</v>
      </c>
      <c r="W4" s="3">
        <f>$A4+Action!$B$13</f>
        <v>45775</v>
      </c>
      <c r="X4" s="3">
        <f>$A4+Action!$B$14</f>
        <v>45795</v>
      </c>
      <c r="Y4" s="4">
        <f ca="1">$F4-Action!$B$13</f>
        <v>-14</v>
      </c>
      <c r="Z4" s="3" t="s">
        <v>15</v>
      </c>
      <c r="AA4" s="37" t="str">
        <f>Z4</f>
        <v>xx/xx/xxxx</v>
      </c>
      <c r="AB4" s="37" t="e">
        <f>AA4+10</f>
        <v>#VALUE!</v>
      </c>
      <c r="AC4" s="37"/>
    </row>
    <row r="5" spans="1:31" x14ac:dyDescent="0.2">
      <c r="A5" s="3">
        <v>45673</v>
      </c>
      <c r="B5" s="61" t="s">
        <v>66</v>
      </c>
      <c r="C5" s="3" t="s">
        <v>38</v>
      </c>
      <c r="D5" s="28" t="s">
        <v>68</v>
      </c>
      <c r="E5" s="4" t="s">
        <v>35</v>
      </c>
      <c r="F5" s="4">
        <f ca="1">Action!$B$3-A5</f>
        <v>88</v>
      </c>
      <c r="G5" s="3">
        <f>$A5+Action!$B$4</f>
        <v>45698</v>
      </c>
      <c r="H5" s="3">
        <f>$A5+Action!$B$5</f>
        <v>45708</v>
      </c>
      <c r="I5" s="4" t="s">
        <v>34</v>
      </c>
      <c r="J5" s="3">
        <v>45698</v>
      </c>
      <c r="K5" s="34" t="s">
        <v>37</v>
      </c>
      <c r="L5" s="34" t="s">
        <v>37</v>
      </c>
      <c r="M5" s="34" t="s">
        <v>37</v>
      </c>
      <c r="N5" s="34" t="s">
        <v>37</v>
      </c>
      <c r="O5" s="3">
        <f>$A5+Action!$B$11</f>
        <v>45733</v>
      </c>
      <c r="P5" s="3">
        <f>$A5+Action!$B$12</f>
        <v>45743</v>
      </c>
      <c r="Q5" s="4" t="s">
        <v>34</v>
      </c>
      <c r="R5" s="3">
        <v>45715</v>
      </c>
      <c r="S5" s="3">
        <f>$A5+Action!$B$11</f>
        <v>45733</v>
      </c>
      <c r="T5" s="3">
        <f>$A5+Action!$B$12</f>
        <v>45743</v>
      </c>
      <c r="U5" s="4" t="s">
        <v>34</v>
      </c>
      <c r="V5" s="3" t="s">
        <v>15</v>
      </c>
      <c r="W5" s="3">
        <f>$A5+Action!$B$13</f>
        <v>45748</v>
      </c>
      <c r="X5" s="3">
        <f>$A5+Action!$B$14</f>
        <v>45768</v>
      </c>
      <c r="Y5" s="4" t="s">
        <v>34</v>
      </c>
      <c r="Z5" s="3">
        <v>45740</v>
      </c>
      <c r="AA5" s="37">
        <f t="shared" ref="AA5" si="2">Z5</f>
        <v>45740</v>
      </c>
      <c r="AB5" s="37">
        <f t="shared" ref="AB5" si="3">AA5+10</f>
        <v>45750</v>
      </c>
      <c r="AC5" s="37"/>
    </row>
    <row r="6" spans="1:31" x14ac:dyDescent="0.2">
      <c r="AB6" s="40"/>
    </row>
    <row r="7" spans="1:31" x14ac:dyDescent="0.2">
      <c r="A7" s="3" t="s">
        <v>62</v>
      </c>
      <c r="B7" s="61"/>
      <c r="C7" s="3" t="s">
        <v>36</v>
      </c>
      <c r="D7" t="s">
        <v>69</v>
      </c>
      <c r="E7" s="4" t="s">
        <v>35</v>
      </c>
      <c r="F7" s="4" t="e">
        <f ca="1">Action!$B$3-A7</f>
        <v>#VALUE!</v>
      </c>
      <c r="G7" s="3" t="e">
        <f>$A7+Action!$B$4</f>
        <v>#VALUE!</v>
      </c>
      <c r="H7" s="3" t="e">
        <f>$A7+Action!$B$5</f>
        <v>#VALUE!</v>
      </c>
      <c r="I7" s="4" t="e">
        <f ca="1">$F7-Action!$B$4</f>
        <v>#VALUE!</v>
      </c>
      <c r="J7" s="3" t="s">
        <v>15</v>
      </c>
      <c r="K7" s="3" t="e">
        <f>$A7+Action!$B$6</f>
        <v>#VALUE!</v>
      </c>
      <c r="L7" s="3" t="e">
        <f>$A7+Action!$B$8</f>
        <v>#VALUE!</v>
      </c>
      <c r="M7" s="4" t="e">
        <f ca="1">$F7-Action!$B$6</f>
        <v>#VALUE!</v>
      </c>
      <c r="N7" s="3" t="s">
        <v>15</v>
      </c>
      <c r="O7" s="3" t="e">
        <f>$A7+Action!$B$11</f>
        <v>#VALUE!</v>
      </c>
      <c r="P7" s="3" t="e">
        <f>$A7+Action!$B$12</f>
        <v>#VALUE!</v>
      </c>
      <c r="Q7" s="4" t="e">
        <f ca="1">$F7-Action!$B$11</f>
        <v>#VALUE!</v>
      </c>
      <c r="R7" s="3" t="s">
        <v>15</v>
      </c>
      <c r="S7" s="3" t="e">
        <f>$A7+Action!$B$11</f>
        <v>#VALUE!</v>
      </c>
      <c r="T7" s="3" t="e">
        <f>$A7+Action!$B$12</f>
        <v>#VALUE!</v>
      </c>
      <c r="U7" s="4" t="e">
        <f ca="1">$F7-Action!$B$11</f>
        <v>#VALUE!</v>
      </c>
      <c r="V7" s="3" t="s">
        <v>15</v>
      </c>
      <c r="W7" s="3" t="e">
        <f>$A7+Action!$B$13</f>
        <v>#VALUE!</v>
      </c>
      <c r="X7" s="3" t="e">
        <f>$A7+Action!$B$14</f>
        <v>#VALUE!</v>
      </c>
      <c r="Y7" s="4" t="e">
        <f ca="1">$F7-Action!$B$13</f>
        <v>#VALUE!</v>
      </c>
      <c r="Z7" s="3" t="s">
        <v>15</v>
      </c>
      <c r="AA7" s="37" t="e">
        <f>$A7+Action!$B$13</f>
        <v>#VALUE!</v>
      </c>
      <c r="AB7" s="37" t="e">
        <f>$A7+Action!$B$14</f>
        <v>#VALUE!</v>
      </c>
    </row>
  </sheetData>
  <dataConsolidate/>
  <mergeCells count="14">
    <mergeCell ref="AD1:AD2"/>
    <mergeCell ref="K1:N1"/>
    <mergeCell ref="G1:J1"/>
    <mergeCell ref="S1:V1"/>
    <mergeCell ref="W1:Z1"/>
    <mergeCell ref="O1:R1"/>
    <mergeCell ref="AA1:AB1"/>
    <mergeCell ref="AC1:AC2"/>
    <mergeCell ref="A1:A2"/>
    <mergeCell ref="E1:E2"/>
    <mergeCell ref="F1:F2"/>
    <mergeCell ref="D1:D2"/>
    <mergeCell ref="B1:B2"/>
    <mergeCell ref="C1:C2"/>
  </mergeCells>
  <phoneticPr fontId="1" type="noConversion"/>
  <conditionalFormatting sqref="A1:A1048576">
    <cfRule type="containsText" dxfId="41" priority="118" operator="containsText" text="to">
      <formula>NOT(ISERROR(SEARCH("to",A1)))</formula>
    </cfRule>
  </conditionalFormatting>
  <conditionalFormatting sqref="A1:AE1 A2:AB2 AD2:AE2 AP1:XFD2 AD4:XFD4 A3:AC5 A6:XFD1048576">
    <cfRule type="containsText" dxfId="40" priority="5" stopIfTrue="1" operator="containsText" text="Pass">
      <formula>NOT(ISERROR(SEARCH("Pass",A1)))</formula>
    </cfRule>
    <cfRule type="containsText" dxfId="39" priority="6" stopIfTrue="1" operator="containsText" text="Done">
      <formula>NOT(ISERROR(SEARCH("Done",A1)))</formula>
    </cfRule>
  </conditionalFormatting>
  <conditionalFormatting sqref="A1:AE1 A2:AB2 AD2:AE2 AF4:AO4 AP1:XFD5 A3:AE5 A6:XFD1048576">
    <cfRule type="containsText" dxfId="38" priority="7" stopIfTrue="1" operator="containsText" text="na">
      <formula>NOT(ISERROR(SEARCH("na",A1)))</formula>
    </cfRule>
  </conditionalFormatting>
  <conditionalFormatting sqref="C1:C1048576">
    <cfRule type="containsText" dxfId="37" priority="128" stopIfTrue="1" operator="containsText" text="Bulking">
      <formula>NOT(ISERROR(SEARCH("Bulking",C1)))</formula>
    </cfRule>
    <cfRule type="containsText" dxfId="36" priority="129" stopIfTrue="1" operator="containsText" text="Segregating">
      <formula>NOT(ISERROR(SEARCH("Segregating",C1)))</formula>
    </cfRule>
    <cfRule type="containsText" dxfId="35" priority="130" operator="containsText" text="Dipping">
      <formula>NOT(ISERROR(SEARCH("Dipping",C1)))</formula>
    </cfRule>
  </conditionalFormatting>
  <conditionalFormatting sqref="E1:E1048576">
    <cfRule type="containsText" dxfId="34" priority="125" operator="containsText" text="51-10">
      <formula>NOT(ISERROR(SEARCH("51-10",E1)))</formula>
    </cfRule>
    <cfRule type="containsText" dxfId="33" priority="126" operator="containsText" text="B18">
      <formula>NOT(ISERROR(SEARCH("B18",E1)))</formula>
    </cfRule>
    <cfRule type="containsText" dxfId="32" priority="127" stopIfTrue="1" operator="containsText" text="51-07">
      <formula>NOT(ISERROR(SEARCH("51-07",E1)))</formula>
    </cfRule>
  </conditionalFormatting>
  <conditionalFormatting sqref="I3:I4 M3 Q4 U4 Y4">
    <cfRule type="dataBar" priority="154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{C162E89A-0EB3-EF4C-96CC-1F3559432F52}</x14:id>
        </ext>
      </extLst>
    </cfRule>
  </conditionalFormatting>
  <conditionalFormatting sqref="M3 I3:I5">
    <cfRule type="cellIs" dxfId="31" priority="155" operator="between">
      <formula>0</formula>
      <formula>10</formula>
    </cfRule>
    <cfRule type="cellIs" dxfId="30" priority="156" operator="between">
      <formula>-10</formula>
      <formula>0</formula>
    </cfRule>
  </conditionalFormatting>
  <conditionalFormatting sqref="I3">
    <cfRule type="cellIs" dxfId="29" priority="83" stopIfTrue="1" operator="greaterThan">
      <formula>10</formula>
    </cfRule>
    <cfRule type="cellIs" dxfId="28" priority="84" operator="between">
      <formula>0</formula>
      <formula>10</formula>
    </cfRule>
    <cfRule type="cellIs" dxfId="27" priority="85" operator="between">
      <formula>-10</formula>
      <formula>0</formula>
    </cfRule>
    <cfRule type="dataBar" priority="86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{6A5287F5-1642-5E46-9086-ECE5B7EBB9A0}</x14:id>
        </ext>
      </extLst>
    </cfRule>
  </conditionalFormatting>
  <conditionalFormatting sqref="I5">
    <cfRule type="dataBar" priority="115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{A71541A3-C639-B243-BA15-B3310936C3CB}</x14:id>
        </ext>
      </extLst>
    </cfRule>
  </conditionalFormatting>
  <conditionalFormatting sqref="M5 M3 I3:I5">
    <cfRule type="cellIs" dxfId="26" priority="113" stopIfTrue="1" operator="greaterThan">
      <formula>10</formula>
    </cfRule>
  </conditionalFormatting>
  <conditionalFormatting sqref="Q4:Q5 U4:U5 Y4:Y5">
    <cfRule type="cellIs" dxfId="25" priority="22" stopIfTrue="1" operator="greaterThan">
      <formula>10</formula>
    </cfRule>
    <cfRule type="cellIs" dxfId="24" priority="23" operator="between">
      <formula>0</formula>
      <formula>10</formula>
    </cfRule>
    <cfRule type="cellIs" dxfId="23" priority="24" operator="between">
      <formula>-10</formula>
      <formula>0</formula>
    </cfRule>
  </conditionalFormatting>
  <conditionalFormatting sqref="I7">
    <cfRule type="cellIs" dxfId="22" priority="97" stopIfTrue="1" operator="greaterThan">
      <formula>10</formula>
    </cfRule>
    <cfRule type="cellIs" dxfId="21" priority="98" operator="between">
      <formula>0</formula>
      <formula>10</formula>
    </cfRule>
    <cfRule type="cellIs" dxfId="20" priority="99" operator="between">
      <formula>-10</formula>
      <formula>0</formula>
    </cfRule>
    <cfRule type="dataBar" priority="104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{816CBA99-6D30-E74D-AFB0-3ABD8FAB216D}</x14:id>
        </ext>
      </extLst>
    </cfRule>
  </conditionalFormatting>
  <conditionalFormatting sqref="M5">
    <cfRule type="cellIs" dxfId="19" priority="116" operator="between">
      <formula>0</formula>
      <formula>10</formula>
    </cfRule>
    <cfRule type="cellIs" dxfId="18" priority="117" operator="between">
      <formula>-10</formula>
      <formula>0</formula>
    </cfRule>
  </conditionalFormatting>
  <conditionalFormatting sqref="M5">
    <cfRule type="dataBar" priority="114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{C4B7C3F1-FBF2-7A44-A535-EA12795DE604}</x14:id>
        </ext>
      </extLst>
    </cfRule>
  </conditionalFormatting>
  <conditionalFormatting sqref="U3 M7 Y3 Q3:Q5">
    <cfRule type="cellIs" dxfId="17" priority="87" stopIfTrue="1" operator="greaterThan">
      <formula>10</formula>
    </cfRule>
    <cfRule type="dataBar" priority="88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{2168AD0D-F1F6-0645-A1F7-BAC20D8F0F49}</x14:id>
        </ext>
      </extLst>
    </cfRule>
    <cfRule type="cellIs" dxfId="16" priority="89" operator="between">
      <formula>0</formula>
      <formula>10</formula>
    </cfRule>
    <cfRule type="cellIs" dxfId="15" priority="90" operator="between">
      <formula>-10</formula>
      <formula>0</formula>
    </cfRule>
  </conditionalFormatting>
  <conditionalFormatting sqref="Q5">
    <cfRule type="dataBar" priority="75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{1E3B95E8-412A-024F-B78A-5FF75A396677}</x14:id>
        </ext>
      </extLst>
    </cfRule>
  </conditionalFormatting>
  <conditionalFormatting sqref="Q7">
    <cfRule type="cellIs" dxfId="14" priority="70" stopIfTrue="1" operator="greaterThan">
      <formula>10</formula>
    </cfRule>
    <cfRule type="cellIs" dxfId="13" priority="71" operator="between">
      <formula>0</formula>
      <formula>10</formula>
    </cfRule>
    <cfRule type="cellIs" dxfId="12" priority="72" operator="between">
      <formula>-10</formula>
      <formula>0</formula>
    </cfRule>
    <cfRule type="dataBar" priority="73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{88C6B647-A323-534B-A8BE-BCED04504CD2}</x14:id>
        </ext>
      </extLst>
    </cfRule>
  </conditionalFormatting>
  <conditionalFormatting sqref="U5">
    <cfRule type="dataBar" priority="110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{EA0903CE-12A8-7640-8825-984036DF080F}</x14:id>
        </ext>
      </extLst>
    </cfRule>
  </conditionalFormatting>
  <conditionalFormatting sqref="U7">
    <cfRule type="cellIs" dxfId="11" priority="94" stopIfTrue="1" operator="greaterThan">
      <formula>10</formula>
    </cfRule>
    <cfRule type="cellIs" dxfId="10" priority="95" operator="between">
      <formula>0</formula>
      <formula>10</formula>
    </cfRule>
    <cfRule type="cellIs" dxfId="9" priority="96" operator="between">
      <formula>-10</formula>
      <formula>0</formula>
    </cfRule>
    <cfRule type="dataBar" priority="101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{575433CB-A8C1-9947-B91E-00435ECEFF56}</x14:id>
        </ext>
      </extLst>
    </cfRule>
  </conditionalFormatting>
  <conditionalFormatting sqref="Y5">
    <cfRule type="dataBar" priority="106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{2F028EE8-DA5C-2547-85FA-2C473A20EB15}</x14:id>
        </ext>
      </extLst>
    </cfRule>
  </conditionalFormatting>
  <conditionalFormatting sqref="Y7">
    <cfRule type="cellIs" dxfId="8" priority="91" stopIfTrue="1" operator="greaterThan">
      <formula>10</formula>
    </cfRule>
    <cfRule type="cellIs" dxfId="7" priority="92" operator="between">
      <formula>0</formula>
      <formula>10</formula>
    </cfRule>
    <cfRule type="cellIs" dxfId="6" priority="93" operator="between">
      <formula>-10</formula>
      <formula>0</formula>
    </cfRule>
    <cfRule type="dataBar" priority="100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{9A07A562-0773-984B-BE68-976DFB26197E}</x14:id>
        </ext>
      </extLst>
    </cfRule>
  </conditionalFormatting>
  <conditionalFormatting sqref="I3">
    <cfRule type="cellIs" dxfId="5" priority="1" stopIfTrue="1" operator="greaterThan">
      <formula>10</formula>
    </cfRule>
    <cfRule type="cellIs" dxfId="4" priority="2" operator="between">
      <formula>0</formula>
      <formula>10</formula>
    </cfRule>
    <cfRule type="cellIs" dxfId="3" priority="3" operator="between">
      <formula>-10</formula>
      <formula>0</formula>
    </cfRule>
    <cfRule type="dataBar" priority="4">
      <dataBar>
        <cfvo type="num" val="-10"/>
        <cfvo type="num" val="10"/>
        <color theme="9"/>
      </dataBar>
      <extLst>
        <ext xmlns:x14="http://schemas.microsoft.com/office/spreadsheetml/2009/9/main" uri="{B025F937-C7B1-47D3-B67F-A62EFF666E3E}">
          <x14:id>{823F6022-6DA1-C340-BE78-3C97B012773D}</x14:id>
        </ext>
      </extLst>
    </cfRule>
  </conditionalFormatting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62E89A-0EB3-EF4C-96CC-1F3559432F52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I3:I4 M3 Q4 U4 Y4</xm:sqref>
        </x14:conditionalFormatting>
        <x14:conditionalFormatting xmlns:xm="http://schemas.microsoft.com/office/excel/2006/main">
          <x14:cfRule type="dataBar" id="{6A5287F5-1642-5E46-9086-ECE5B7EBB9A0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I3</xm:sqref>
        </x14:conditionalFormatting>
        <x14:conditionalFormatting xmlns:xm="http://schemas.microsoft.com/office/excel/2006/main">
          <x14:cfRule type="dataBar" id="{A71541A3-C639-B243-BA15-B3310936C3CB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I5</xm:sqref>
        </x14:conditionalFormatting>
        <x14:conditionalFormatting xmlns:xm="http://schemas.microsoft.com/office/excel/2006/main">
          <x14:cfRule type="dataBar" id="{816CBA99-6D30-E74D-AFB0-3ABD8FAB216D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I7</xm:sqref>
        </x14:conditionalFormatting>
        <x14:conditionalFormatting xmlns:xm="http://schemas.microsoft.com/office/excel/2006/main">
          <x14:cfRule type="dataBar" id="{C4B7C3F1-FBF2-7A44-A535-EA12795DE604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M5</xm:sqref>
        </x14:conditionalFormatting>
        <x14:conditionalFormatting xmlns:xm="http://schemas.microsoft.com/office/excel/2006/main">
          <x14:cfRule type="dataBar" id="{2168AD0D-F1F6-0645-A1F7-BAC20D8F0F49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U3 M7 Y3 Q3:Q5</xm:sqref>
        </x14:conditionalFormatting>
        <x14:conditionalFormatting xmlns:xm="http://schemas.microsoft.com/office/excel/2006/main">
          <x14:cfRule type="dataBar" id="{1E3B95E8-412A-024F-B78A-5FF75A396677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Q5</xm:sqref>
        </x14:conditionalFormatting>
        <x14:conditionalFormatting xmlns:xm="http://schemas.microsoft.com/office/excel/2006/main">
          <x14:cfRule type="dataBar" id="{88C6B647-A323-534B-A8BE-BCED04504CD2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Q7</xm:sqref>
        </x14:conditionalFormatting>
        <x14:conditionalFormatting xmlns:xm="http://schemas.microsoft.com/office/excel/2006/main">
          <x14:cfRule type="dataBar" id="{EA0903CE-12A8-7640-8825-984036DF080F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U5</xm:sqref>
        </x14:conditionalFormatting>
        <x14:conditionalFormatting xmlns:xm="http://schemas.microsoft.com/office/excel/2006/main">
          <x14:cfRule type="dataBar" id="{575433CB-A8C1-9947-B91E-00435ECEFF56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U7</xm:sqref>
        </x14:conditionalFormatting>
        <x14:conditionalFormatting xmlns:xm="http://schemas.microsoft.com/office/excel/2006/main">
          <x14:cfRule type="dataBar" id="{2F028EE8-DA5C-2547-85FA-2C473A20EB15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Y5</xm:sqref>
        </x14:conditionalFormatting>
        <x14:conditionalFormatting xmlns:xm="http://schemas.microsoft.com/office/excel/2006/main">
          <x14:cfRule type="dataBar" id="{9A07A562-0773-984B-BE68-976DFB26197E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Y7</xm:sqref>
        </x14:conditionalFormatting>
        <x14:conditionalFormatting xmlns:xm="http://schemas.microsoft.com/office/excel/2006/main">
          <x14:cfRule type="dataBar" id="{823F6022-6DA1-C340-BE78-3C97B012773D}">
            <x14:dataBar minLength="0" maxLength="100" gradient="0" axisPosition="none">
              <x14:cfvo type="num">
                <xm:f>-10</xm:f>
              </x14:cfvo>
              <x14:cfvo type="num">
                <xm:f>10</xm:f>
              </x14:cfvo>
              <x14:negativeFillColor rgb="FFFFC000"/>
            </x14:dataBar>
          </x14:cfRule>
          <xm:sqref>I3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2D270C-09E8-0549-916E-762AD5234085}">
          <x14:formula1>
            <xm:f>Action!$L$3:$L$5</xm:f>
          </x14:formula1>
          <xm:sqref>E1:E1048576</xm:sqref>
        </x14:dataValidation>
        <x14:dataValidation type="list" allowBlank="1" showInputMessage="1" showErrorMessage="1" xr:uid="{C9CF6BB2-43B0-174D-AA8B-7FBA97196114}">
          <x14:formula1>
            <xm:f>Action!$J$3:$J$6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2943-8AF4-FD4D-A77B-14194B0A928E}">
  <dimension ref="A1:L17"/>
  <sheetViews>
    <sheetView zoomScale="157" workbookViewId="0">
      <selection activeCell="E18" sqref="E18"/>
    </sheetView>
  </sheetViews>
  <sheetFormatPr baseColWidth="10" defaultRowHeight="16" x14ac:dyDescent="0.2"/>
  <cols>
    <col min="1" max="1" width="19" bestFit="1" customWidth="1"/>
    <col min="4" max="4" width="15.1640625" bestFit="1" customWidth="1"/>
    <col min="5" max="5" width="17" bestFit="1" customWidth="1"/>
    <col min="8" max="8" width="35" bestFit="1" customWidth="1"/>
  </cols>
  <sheetData>
    <row r="1" spans="1:12" ht="17" thickBot="1" x14ac:dyDescent="0.25"/>
    <row r="2" spans="1:12" ht="17" thickTop="1" x14ac:dyDescent="0.2">
      <c r="A2" s="27" t="s">
        <v>17</v>
      </c>
      <c r="B2" s="26" t="s">
        <v>27</v>
      </c>
      <c r="C2" s="1"/>
      <c r="D2" s="27" t="s">
        <v>55</v>
      </c>
      <c r="E2" s="26" t="s">
        <v>52</v>
      </c>
      <c r="F2" s="1"/>
      <c r="G2" s="27" t="s">
        <v>8</v>
      </c>
      <c r="H2" s="12"/>
      <c r="I2" s="1"/>
      <c r="J2" s="31" t="s">
        <v>1</v>
      </c>
      <c r="K2" s="1"/>
      <c r="L2" s="31" t="s">
        <v>31</v>
      </c>
    </row>
    <row r="3" spans="1:12" x14ac:dyDescent="0.2">
      <c r="A3" s="14" t="s">
        <v>19</v>
      </c>
      <c r="B3" s="10">
        <f ca="1">TODAY()</f>
        <v>45761</v>
      </c>
      <c r="C3" s="1"/>
      <c r="D3" s="14" t="s">
        <v>53</v>
      </c>
      <c r="E3" s="10" t="s">
        <v>54</v>
      </c>
      <c r="F3" s="1"/>
      <c r="G3" s="11" t="s">
        <v>7</v>
      </c>
      <c r="H3" s="10" t="s">
        <v>43</v>
      </c>
      <c r="I3" s="1"/>
      <c r="J3" s="32" t="s">
        <v>36</v>
      </c>
      <c r="K3" s="1"/>
      <c r="L3" s="32" t="s">
        <v>49</v>
      </c>
    </row>
    <row r="4" spans="1:12" x14ac:dyDescent="0.2">
      <c r="A4" s="14" t="s">
        <v>18</v>
      </c>
      <c r="B4" s="8">
        <v>25</v>
      </c>
      <c r="C4" s="29"/>
      <c r="D4" s="14" t="s">
        <v>56</v>
      </c>
      <c r="E4" s="60">
        <v>0.7</v>
      </c>
      <c r="F4" s="1"/>
      <c r="G4" s="9" t="s">
        <v>6</v>
      </c>
      <c r="H4" s="8" t="s">
        <v>5</v>
      </c>
      <c r="I4" s="1"/>
      <c r="J4" s="32" t="s">
        <v>3</v>
      </c>
      <c r="K4" s="1"/>
      <c r="L4" s="32" t="s">
        <v>50</v>
      </c>
    </row>
    <row r="5" spans="1:12" ht="17" thickBot="1" x14ac:dyDescent="0.25">
      <c r="A5" s="14" t="s">
        <v>14</v>
      </c>
      <c r="B5" s="8">
        <v>35</v>
      </c>
      <c r="C5" s="29"/>
      <c r="D5" s="14" t="s">
        <v>57</v>
      </c>
      <c r="E5" s="8" t="s">
        <v>58</v>
      </c>
      <c r="F5" s="1"/>
      <c r="G5" s="7" t="s">
        <v>4</v>
      </c>
      <c r="H5" s="6" t="s">
        <v>44</v>
      </c>
      <c r="I5" s="1"/>
      <c r="J5" s="32" t="s">
        <v>39</v>
      </c>
      <c r="K5" s="1"/>
      <c r="L5" s="33" t="s">
        <v>51</v>
      </c>
    </row>
    <row r="6" spans="1:12" ht="18" thickTop="1" thickBot="1" x14ac:dyDescent="0.25">
      <c r="A6" s="14" t="s">
        <v>13</v>
      </c>
      <c r="B6" s="8">
        <v>40</v>
      </c>
      <c r="C6" s="29"/>
      <c r="D6" s="13" t="s">
        <v>59</v>
      </c>
      <c r="E6" s="6" t="s">
        <v>60</v>
      </c>
      <c r="F6" s="1"/>
      <c r="G6" s="1"/>
      <c r="H6" s="1"/>
      <c r="I6" s="1"/>
      <c r="J6" s="33" t="s">
        <v>38</v>
      </c>
      <c r="K6" s="1"/>
      <c r="L6" s="1"/>
    </row>
    <row r="7" spans="1:12" ht="17" thickTop="1" x14ac:dyDescent="0.2">
      <c r="A7" s="42" t="s">
        <v>13</v>
      </c>
      <c r="B7" s="43">
        <v>40</v>
      </c>
      <c r="C7" s="44"/>
      <c r="D7" s="38"/>
      <c r="E7" s="38"/>
      <c r="F7" s="38"/>
      <c r="G7" s="38"/>
      <c r="H7" s="38"/>
      <c r="I7" s="38"/>
      <c r="J7" s="1"/>
      <c r="K7" s="38"/>
      <c r="L7" s="38"/>
    </row>
    <row r="8" spans="1:12" x14ac:dyDescent="0.2">
      <c r="A8" s="14" t="s">
        <v>13</v>
      </c>
      <c r="B8" s="8">
        <v>50</v>
      </c>
      <c r="C8" s="29"/>
      <c r="D8" s="1"/>
      <c r="E8" s="1"/>
      <c r="F8" s="1"/>
      <c r="G8" s="1"/>
      <c r="H8" s="1"/>
      <c r="I8" s="1"/>
      <c r="J8" s="1"/>
      <c r="K8" s="1"/>
      <c r="L8" s="1"/>
    </row>
    <row r="9" spans="1:12" x14ac:dyDescent="0.2">
      <c r="A9" s="14" t="s">
        <v>41</v>
      </c>
      <c r="B9" s="8">
        <v>45</v>
      </c>
      <c r="C9" s="29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">
      <c r="A10" s="14" t="s">
        <v>42</v>
      </c>
      <c r="B10" s="8">
        <v>55</v>
      </c>
      <c r="C10" s="29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14" t="s">
        <v>12</v>
      </c>
      <c r="B11" s="8">
        <v>60</v>
      </c>
      <c r="C11" s="29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 s="14" t="s">
        <v>11</v>
      </c>
      <c r="B12" s="8">
        <v>70</v>
      </c>
      <c r="C12" s="29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14" t="s">
        <v>10</v>
      </c>
      <c r="B13" s="8">
        <v>75</v>
      </c>
      <c r="C13" s="29"/>
      <c r="D13" s="1"/>
      <c r="E13" s="1"/>
      <c r="F13" s="1"/>
      <c r="G13" s="1"/>
      <c r="H13" s="1"/>
      <c r="I13" s="1"/>
      <c r="J13" s="1"/>
      <c r="K13" s="1"/>
      <c r="L13" s="1"/>
    </row>
    <row r="14" spans="1:12" ht="17" thickBot="1" x14ac:dyDescent="0.25">
      <c r="A14" s="13" t="s">
        <v>9</v>
      </c>
      <c r="B14" s="6">
        <v>95</v>
      </c>
      <c r="C14" s="29"/>
      <c r="D14" s="1"/>
      <c r="E14" s="1"/>
      <c r="F14" s="1"/>
      <c r="G14" s="1"/>
      <c r="H14" s="1"/>
      <c r="I14" s="1"/>
      <c r="J14" s="1"/>
      <c r="K14" s="1"/>
      <c r="L14" s="1"/>
    </row>
    <row r="15" spans="1:12" ht="17" thickTop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"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3:12" x14ac:dyDescent="0.2"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conditionalFormatting sqref="D9:L9 A9:C14 C15:L17 A2:L8">
    <cfRule type="containsText" dxfId="2" priority="1" stopIfTrue="1" operator="containsText" text="Pass">
      <formula>NOT(ISERROR(SEARCH("Pass",A2)))</formula>
    </cfRule>
    <cfRule type="containsText" dxfId="1" priority="2" stopIfTrue="1" operator="containsText" text="Done">
      <formula>NOT(ISERROR(SEARCH("Done",A2)))</formula>
    </cfRule>
  </conditionalFormatting>
  <conditionalFormatting sqref="C15:L17 A2:L14">
    <cfRule type="containsText" dxfId="0" priority="3" stopIfTrue="1" operator="containsText" text="na">
      <formula>NOT(ISERROR(SEARCH("na",A2)))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52efd4-5dac-41b6-a23d-764634c36cea}" enabled="0" method="" siteId="{e652efd4-5dac-41b6-a23d-764634c36c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Zhengao Di (EI)</dc:creator>
  <cp:lastModifiedBy>Zhengao Di (EI)</cp:lastModifiedBy>
  <cp:lastPrinted>2025-03-31T10:57:20Z</cp:lastPrinted>
  <dcterms:created xsi:type="dcterms:W3CDTF">2023-06-14T11:04:21Z</dcterms:created>
  <dcterms:modified xsi:type="dcterms:W3CDTF">2025-04-14T14:08:32Z</dcterms:modified>
</cp:coreProperties>
</file>